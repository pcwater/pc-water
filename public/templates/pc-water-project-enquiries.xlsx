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54c5d61bea4d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quiry Overview" sheetId="1" r:id="Rbda39596a77b409a"/>
    <x:sheet xmlns:r="http://schemas.openxmlformats.org/officeDocument/2006/relationships" name="Lead Register" sheetId="2" r:id="R8a8ca2cec55140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 mmm yyyy"/>
  </x:numFmts>
  <x:fonts count="22">
    <x:font>
      <x:sz val="11"/>
      <x:name val="Carlito"/>
    </x:font>
    <x:font>
      <x:sz val="10"/>
      <x:color rgb="FF23313D"/>
      <x:name val="Arial"/>
    </x:font>
    <x:font>
      <x:b/>
      <x:sz val="16"/>
      <x:color rgb="FFFFFFFF"/>
      <x:name val="Arial"/>
    </x:font>
    <x:font>
      <x:b/>
      <x:sz val="17"/>
      <x:color rgb="FFFFFFFF"/>
      <x:name val="Arial"/>
    </x:font>
    <x:font>
      <x:b/>
      <x:sz val="12"/>
      <x:color rgb="FFBFD7E5"/>
      <x:name val="Arial"/>
    </x:font>
    <x:font>
      <x:sz val="9"/>
      <x:color rgb="FFFFFFFF"/>
      <x:name val="Arial"/>
    </x:font>
    <x:font>
      <x:b/>
      <x:sz val="10"/>
      <x:color rgb="FFFFFFFF"/>
      <x:name val="Arial"/>
    </x:font>
    <x:font>
      <x:b/>
      <x:sz val="9"/>
      <x:color rgb="FFFFFFFF"/>
      <x:name val="Arial"/>
    </x:font>
    <x:font>
      <x:sz val="8"/>
      <x:color rgb="FF687782"/>
      <x:name val="Arial"/>
    </x:font>
    <x:font>
      <x:b/>
      <x:sz val="9"/>
      <x:color rgb="FF687782"/>
      <x:name val="Arial"/>
    </x:font>
    <x:font>
      <x:b/>
      <x:sz val="20"/>
      <x:color rgb="FF0D2235"/>
      <x:name val="Arial"/>
    </x:font>
    <x:font>
      <x:b/>
      <x:sz val="14"/>
      <x:color rgb="FF0D2235"/>
      <x:name val="Arial"/>
    </x:font>
    <x:font>
      <x:b/>
      <x:sz val="9"/>
      <x:color rgb="FF2478B5"/>
      <x:name val="Arial"/>
    </x:font>
    <x:font>
      <x:b/>
      <x:sz val="8"/>
      <x:color rgb="FF687782"/>
      <x:name val="Arial"/>
    </x:font>
    <x:font>
      <x:b/>
      <x:sz val="9"/>
      <x:color rgb="FF46515C"/>
      <x:name val="Arial"/>
    </x:font>
    <x:font>
      <x:b/>
      <x:sz val="8"/>
      <x:color rgb="FF2478B5"/>
      <x:name val="Arial"/>
    </x:font>
    <x:font>
      <x:b/>
      <x:sz val="15"/>
      <x:color rgb="FFFFFFFF"/>
      <x:name val="Arial"/>
    </x:font>
    <x:font>
      <x:b/>
      <x:sz val="11"/>
      <x:color rgb="FFBFD7E5"/>
      <x:name val="Arial"/>
    </x:font>
    <x:font>
      <x:b/>
      <x:sz val="10"/>
      <x:color rgb="FF0D2235"/>
      <x:name val="Arial"/>
    </x:font>
    <x:font>
      <x:sz val="10"/>
      <x:color rgb="FF2478B5"/>
      <x:name val="Arial"/>
    </x:font>
    <x:font>
      <x:b/>
      <x:sz val="10"/>
      <x:color rgb="FF46515C"/>
      <x:name val="Arial"/>
    </x:font>
    <x:font>
      <x:sz val="9"/>
      <x:color rgb="FF687782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3498DB"/>
      </x:patternFill>
    </x:fill>
    <x:fill>
      <x:patternFill patternType="solid">
        <x:fgColor rgb="FF0D2235"/>
      </x:patternFill>
    </x:fill>
    <x:fill>
      <x:patternFill patternType="solid">
        <x:fgColor rgb="FF46515C"/>
      </x:patternFill>
    </x:fill>
    <x:fill>
      <x:patternFill patternType="solid">
        <x:fgColor rgb="FFF5F8FA"/>
      </x:patternFill>
    </x:fill>
    <x:fill>
      <x:patternFill patternType="solid">
        <x:fgColor rgb="FFEAF5FB"/>
      </x:patternFill>
    </x:fill>
    <x:fill>
      <x:patternFill patternType="solid">
        <x:fgColor rgb="FF2478B5"/>
      </x:patternFill>
    </x:fill>
    <x:fill>
      <x:patternFill patternType="solid">
        <x:fgColor rgb="FFFBFCFD"/>
      </x:patternFill>
    </x:fill>
  </x:fills>
  <x:borders count="34">
    <x:border/>
    <x:border/>
    <x:border>
      <x:left style="thin">
        <x:color rgb="FFD7E2E8"/>
      </x:left>
      <x:top style="thin">
        <x:color rgb="FFD7E2E8"/>
      </x:top>
    </x:border>
    <x:border>
      <x:top style="thin">
        <x:color rgb="FFD7E2E8"/>
      </x:top>
    </x:border>
    <x:border>
      <x:right style="thin">
        <x:color rgb="FFD7E2E8"/>
      </x:right>
      <x:top style="thin">
        <x:color rgb="FFD7E2E8"/>
      </x:top>
    </x:border>
    <x:border>
      <x:left style="thin">
        <x:color rgb="FFD7E2E8"/>
      </x:left>
    </x:border>
    <x:border>
      <x:right style="thin">
        <x:color rgb="FFD7E2E8"/>
      </x:right>
    </x:border>
    <x:border>
      <x:left style="thin">
        <x:color rgb="FFD7E2E8"/>
      </x:left>
      <x:bottom style="thin">
        <x:color rgb="FFD7E2E8"/>
      </x:bottom>
    </x:border>
    <x:border>
      <x:bottom style="thin">
        <x:color rgb="FFD7E2E8"/>
      </x:bottom>
    </x:border>
    <x:border>
      <x:right style="thin">
        <x:color rgb="FFD7E2E8"/>
      </x:right>
      <x:bottom style="thin">
        <x:color rgb="FFD7E2E8"/>
      </x:bottom>
    </x:border>
    <x:border>
      <x:left style="thin">
        <x:color rgb="FFD7E2E8"/>
      </x:left>
      <x:top style="thin">
        <x:color rgb="FFD7E2E8"/>
      </x:top>
    </x:border>
    <x:border>
      <x:top style="thin">
        <x:color rgb="FFD7E2E8"/>
      </x:top>
    </x:border>
    <x:border>
      <x:right style="thin">
        <x:color rgb="FFD7E2E8"/>
      </x:right>
      <x:top style="thin">
        <x:color rgb="FFD7E2E8"/>
      </x:top>
    </x:border>
    <x:border>
      <x:left style="thin">
        <x:color rgb="FFD7E2E8"/>
      </x:left>
    </x:border>
    <x:border>
      <x:right style="thin">
        <x:color rgb="FFD7E2E8"/>
      </x:right>
    </x:border>
    <x:border>
      <x:left style="thin">
        <x:color rgb="FFD7E2E8"/>
      </x:left>
      <x:bottom style="thin">
        <x:color rgb="FFD7E2E8"/>
      </x:bottom>
    </x:border>
    <x:border>
      <x:bottom style="thin">
        <x:color rgb="FFD7E2E8"/>
      </x:bottom>
    </x:border>
    <x:border>
      <x:right style="thin">
        <x:color rgb="FFD7E2E8"/>
      </x:right>
      <x:bottom style="thin">
        <x:color rgb="FFD7E2E8"/>
      </x:bottom>
    </x:border>
    <x:border>
      <x:left style="thin">
        <x:color rgb="FFD7E2E8"/>
      </x:left>
      <x:top style="thin">
        <x:color rgb="FFD7E2E8"/>
      </x:top>
      <x:bottom style="thin">
        <x:color rgb="FFD7E2E8"/>
      </x:bottom>
    </x:border>
    <x:border>
      <x:top style="thin">
        <x:color rgb="FFD7E2E8"/>
      </x:top>
      <x:bottom style="thin">
        <x:color rgb="FFD7E2E8"/>
      </x:bottom>
    </x:border>
    <x:border>
      <x:right style="thin">
        <x:color rgb="FFD7E2E8"/>
      </x:right>
      <x:top style="thin">
        <x:color rgb="FFD7E2E8"/>
      </x:top>
      <x:bottom style="thin">
        <x:color rgb="FFD7E2E8"/>
      </x:bottom>
    </x:border>
    <x:border>
      <x:left style="thin">
        <x:color rgb="FFD7E2E8"/>
      </x:left>
      <x:top style="thin">
        <x:color rgb="FFD7E2E8"/>
      </x:top>
      <x:bottom style="thin">
        <x:color rgb="FFD7E2E8"/>
      </x:bottom>
    </x:border>
    <x:border>
      <x:top style="thin">
        <x:color rgb="FFD7E2E8"/>
      </x:top>
      <x:bottom style="thin">
        <x:color rgb="FFD7E2E8"/>
      </x:bottom>
    </x:border>
    <x:border>
      <x:right style="thin">
        <x:color rgb="FFD7E2E8"/>
      </x:right>
      <x:top style="thin">
        <x:color rgb="FFD7E2E8"/>
      </x:top>
      <x:bottom style="thin">
        <x:color rgb="FFD7E2E8"/>
      </x:bottom>
    </x:border>
    <x:border>
      <x:bottom style="thin">
        <x:color rgb="FF3498DB"/>
      </x:bottom>
    </x:border>
    <x:border>
      <x:bottom style="thin">
        <x:color rgb="FF3498DB"/>
      </x:bottom>
    </x:border>
    <x:border>
      <x:left style="thin">
        <x:color rgb="FFEEF2F4"/>
      </x:left>
    </x:border>
    <x:border>
      <x:right style="thin">
        <x:color rgb="FFEEF2F4"/>
      </x:right>
    </x:border>
    <x:border>
      <x:left style="thin">
        <x:color rgb="FFEEF2F4"/>
      </x:left>
      <x:bottom style="thin">
        <x:color rgb="FFD7E2E8"/>
      </x:bottom>
    </x:border>
    <x:border>
      <x:right style="thin">
        <x:color rgb="FFEEF2F4"/>
      </x:right>
      <x:bottom style="thin">
        <x:color rgb="FFD7E2E8"/>
      </x:bottom>
    </x:border>
    <x:border>
      <x:left style="thin">
        <x:color rgb="FFEEF2F4"/>
      </x:left>
    </x:border>
    <x:border>
      <x:right style="thin">
        <x:color rgb="FFEEF2F4"/>
      </x:right>
    </x:border>
    <x:border>
      <x:left style="thin">
        <x:color rgb="FFEEF2F4"/>
      </x:left>
      <x:bottom style="thin">
        <x:color rgb="FFD7E2E8"/>
      </x:bottom>
    </x:border>
    <x:border>
      <x:right style="thin">
        <x:color rgb="FFEEF2F4"/>
      </x:right>
      <x:bottom style="thin">
        <x:color rgb="FFD7E2E8"/>
      </x:bottom>
    </x:border>
  </x:borders>
  <x:cellStyleXfs count="1">
    <x:xf numFmtId="0" fontId="0" fillId="0" borderId="0"/>
  </x:cellStyleXfs>
  <x:cellXfs count="2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8" fillId="6" borderId="0" xfId="0" applyNumberFormat="1" applyFont="1" applyFill="1" applyBorder="1" applyAlignment="1">
      <x:alignment horizontal="center" vertical="center"/>
    </x:xf>
    <x:xf numFmtId="0" fontId="1" fillId="6" borderId="1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horizontal="center"/>
    </x:xf>
    <x:xf numFmtId="0" fontId="8" fillId="6" borderId="1" xfId="0" applyNumberFormat="1" applyFont="1" applyFill="1" applyBorder="1" applyAlignment="1">
      <x:alignment horizontal="center" vertical="center"/>
    </x:xf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6" xfId="0" applyNumberFormat="1" applyFont="1" applyFill="1" applyBorder="1"/>
    <x:xf numFmtId="0" fontId="1" fillId="6" borderId="7" xfId="0" applyNumberFormat="1" applyFont="1" applyFill="1" applyBorder="1"/>
    <x:xf numFmtId="0" fontId="1" fillId="6" borderId="8" xfId="0" applyNumberFormat="1" applyFont="1" applyFill="1" applyBorder="1"/>
    <x:xf numFmtId="0" fontId="1" fillId="6" borderId="9" xfId="0" applyNumberFormat="1" applyFont="1" applyFill="1" applyBorder="1"/>
    <x:xf numFmtId="0" fontId="1" fillId="6" borderId="10" xfId="0" applyNumberFormat="1" applyFont="1" applyFill="1" applyBorder="1"/>
    <x:xf numFmtId="0" fontId="1" fillId="6" borderId="11" xfId="0" applyNumberFormat="1" applyFont="1" applyFill="1" applyBorder="1"/>
    <x:xf numFmtId="0" fontId="1" fillId="6" borderId="12" xfId="0" applyNumberFormat="1" applyFont="1" applyFill="1" applyBorder="1"/>
    <x:xf numFmtId="0" fontId="1" fillId="6" borderId="13" xfId="0" applyNumberFormat="1" applyFont="1" applyFill="1" applyBorder="1"/>
    <x:xf numFmtId="0" fontId="1" fillId="6" borderId="14" xfId="0" applyNumberFormat="1" applyFont="1" applyFill="1" applyBorder="1"/>
    <x:xf numFmtId="0" fontId="1" fillId="6" borderId="15" xfId="0" applyNumberFormat="1" applyFont="1" applyFill="1" applyBorder="1"/>
    <x:xf numFmtId="0" fontId="1" fillId="6" borderId="16" xfId="0" applyNumberFormat="1" applyFont="1" applyFill="1" applyBorder="1"/>
    <x:xf numFmtId="0" fontId="1" fillId="6" borderId="17" xfId="0" applyNumberFormat="1" applyFont="1" applyFill="1" applyBorder="1"/>
    <x:xf numFmtId="0" fontId="9" fillId="6" borderId="2" xfId="0" applyNumberFormat="1" applyFont="1" applyFill="1" applyBorder="1"/>
    <x:xf numFmtId="0" fontId="9" fillId="6" borderId="2" xfId="0" applyNumberFormat="1" applyFont="1" applyFill="1" applyBorder="1" applyAlignment="1">
      <x:alignment horizontal="center"/>
    </x:xf>
    <x:xf numFmtId="0" fontId="9" fillId="6" borderId="2" xfId="0" applyNumberFormat="1" applyFont="1" applyFill="1" applyBorder="1" applyAlignment="1">
      <x:alignment horizontal="center" vertical="center"/>
    </x:xf>
    <x:xf numFmtId="0" fontId="9" fillId="6" borderId="10" xfId="0" applyNumberFormat="1" applyFont="1" applyFill="1" applyBorder="1"/>
    <x:xf numFmtId="0" fontId="9" fillId="6" borderId="10" xfId="0" applyNumberFormat="1" applyFont="1" applyFill="1" applyBorder="1" applyAlignment="1">
      <x:alignment horizontal="center"/>
    </x:xf>
    <x:xf numFmtId="0" fontId="9" fillId="6" borderId="10" xfId="0" applyNumberFormat="1" applyFont="1" applyFill="1" applyBorder="1" applyAlignment="1">
      <x:alignment horizontal="center" vertical="center"/>
    </x:xf>
    <x:xf numFmtId="0" fontId="10" fillId="6" borderId="5" xfId="0" applyNumberFormat="1" applyFont="1" applyFill="1" applyBorder="1"/>
    <x:xf numFmtId="0" fontId="10" fillId="6" borderId="5" xfId="0" applyNumberFormat="1" applyFont="1" applyFill="1" applyBorder="1" applyAlignment="1">
      <x:alignment horizontal="center"/>
    </x:xf>
    <x:xf numFmtId="0" fontId="10" fillId="6" borderId="5" xfId="0" applyNumberFormat="1" applyFont="1" applyFill="1" applyBorder="1" applyAlignment="1">
      <x:alignment horizontal="center" vertical="center"/>
    </x:xf>
    <x:xf numFmtId="0" fontId="10" fillId="6" borderId="13" xfId="0" applyNumberFormat="1" applyFont="1" applyFill="1" applyBorder="1"/>
    <x:xf numFmtId="0" fontId="10" fillId="6" borderId="13" xfId="0" applyNumberFormat="1" applyFont="1" applyFill="1" applyBorder="1" applyAlignment="1">
      <x:alignment horizontal="center"/>
    </x:xf>
    <x:xf numFmtId="0" fontId="10" fillId="6" borderId="13" xfId="0" applyNumberFormat="1" applyFont="1" applyFill="1" applyBorder="1" applyAlignment="1">
      <x:alignment horizontal="center" vertical="center"/>
    </x:xf>
    <x:xf numFmtId="0" fontId="8" fillId="6" borderId="7" xfId="0" applyNumberFormat="1" applyFont="1" applyFill="1" applyBorder="1"/>
    <x:xf numFmtId="0" fontId="8" fillId="6" borderId="7" xfId="0" applyNumberFormat="1" applyFont="1" applyFill="1" applyBorder="1" applyAlignment="1">
      <x:alignment wrapText="1"/>
    </x:xf>
    <x:xf numFmtId="0" fontId="8" fillId="6" borderId="7" xfId="0" applyNumberFormat="1" applyFont="1" applyFill="1" applyBorder="1" applyAlignment="1">
      <x:alignment horizontal="center" wrapText="1"/>
    </x:xf>
    <x:xf numFmtId="0" fontId="8" fillId="6" borderId="7" xfId="0" applyNumberFormat="1" applyFont="1" applyFill="1" applyBorder="1" applyAlignment="1">
      <x:alignment horizontal="center" vertical="center" wrapText="1"/>
    </x:xf>
    <x:xf numFmtId="0" fontId="8" fillId="6" borderId="15" xfId="0" applyNumberFormat="1" applyFont="1" applyFill="1" applyBorder="1"/>
    <x:xf numFmtId="0" fontId="8" fillId="6" borderId="15" xfId="0" applyNumberFormat="1" applyFont="1" applyFill="1" applyBorder="1" applyAlignment="1">
      <x:alignment wrapText="1"/>
    </x:xf>
    <x:xf numFmtId="0" fontId="8" fillId="6" borderId="15" xfId="0" applyNumberFormat="1" applyFont="1" applyFill="1" applyBorder="1" applyAlignment="1">
      <x:alignment horizontal="center" wrapText="1"/>
    </x:xf>
    <x:xf numFmtId="0" fontId="8" fillId="6" borderId="15" xfId="0" applyNumberFormat="1" applyFont="1" applyFill="1" applyBorder="1" applyAlignment="1">
      <x:alignment horizontal="center" vertical="center" wrapText="1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vertical="center"/>
    </x:xf>
    <x:xf numFmtId="0" fontId="11" fillId="2" borderId="1" xfId="0" applyNumberFormat="1" applyFont="1" applyFill="1" applyBorder="1"/>
    <x:xf numFmtId="0" fontId="11" fillId="2" borderId="1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/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horizontal="center"/>
    </x:xf>
    <x:xf numFmtId="0" fontId="12" fillId="7" borderId="0" xfId="0" applyNumberFormat="1" applyFont="1" applyFill="1" applyBorder="1" applyAlignment="1">
      <x:alignment horizontal="center" vertical="center"/>
    </x:xf>
    <x:xf numFmtId="0" fontId="1" fillId="7" borderId="1" xfId="0" applyNumberFormat="1" applyFont="1" applyFill="1" applyBorder="1"/>
    <x:xf numFmtId="0" fontId="12" fillId="7" borderId="1" xfId="0" applyNumberFormat="1" applyFont="1" applyFill="1" applyBorder="1"/>
    <x:xf numFmtId="0" fontId="12" fillId="7" borderId="1" xfId="0" applyNumberFormat="1" applyFont="1" applyFill="1" applyBorder="1" applyAlignment="1">
      <x:alignment horizontal="center"/>
    </x:xf>
    <x:xf numFmtId="0" fontId="12" fillId="7" borderId="1" xfId="0" applyNumberFormat="1" applyFont="1" applyFill="1" applyBorder="1" applyAlignment="1">
      <x:alignment horizontal="center" vertical="center"/>
    </x:xf>
    <x:xf numFmtId="0" fontId="13" fillId="6" borderId="2" xfId="0" applyNumberFormat="1" applyFont="1" applyFill="1" applyBorder="1"/>
    <x:xf numFmtId="0" fontId="13" fillId="6" borderId="2" xfId="0" applyNumberFormat="1" applyFont="1" applyFill="1" applyBorder="1" applyAlignment="1">
      <x:alignment vertical="center"/>
    </x:xf>
    <x:xf numFmtId="0" fontId="13" fillId="6" borderId="10" xfId="0" applyNumberFormat="1" applyFont="1" applyFill="1" applyBorder="1"/>
    <x:xf numFmtId="0" fontId="13" fillId="6" borderId="10" xfId="0" applyNumberFormat="1" applyFont="1" applyFill="1" applyBorder="1" applyAlignment="1">
      <x:alignment vertical="center"/>
    </x:xf>
    <x:xf numFmtId="0" fontId="1" fillId="6" borderId="5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vertical="top" wrapText="1"/>
    </x:xf>
    <x:xf numFmtId="0" fontId="1" fillId="6" borderId="13" xfId="0" applyNumberFormat="1" applyFont="1" applyFill="1" applyBorder="1" applyAlignment="1">
      <x:alignment wrapText="1"/>
    </x:xf>
    <x:xf numFmtId="0" fontId="1" fillId="6" borderId="13" xfId="0" applyNumberFormat="1" applyFont="1" applyFill="1" applyBorder="1" applyAlignment="1">
      <x:alignment vertical="top" wrapText="1"/>
    </x:xf>
    <x:xf numFmtId="0" fontId="1" fillId="2" borderId="18" xfId="0" applyNumberFormat="1" applyFont="1" applyFill="1" applyBorder="1"/>
    <x:xf numFmtId="0" fontId="1" fillId="2" borderId="19" xfId="0" applyNumberFormat="1" applyFont="1" applyFill="1" applyBorder="1"/>
    <x:xf numFmtId="0" fontId="1" fillId="2" borderId="20" xfId="0" applyNumberFormat="1" applyFont="1" applyFill="1" applyBorder="1"/>
    <x:xf numFmtId="0" fontId="1" fillId="2" borderId="21" xfId="0" applyNumberFormat="1" applyFont="1" applyFill="1" applyBorder="1"/>
    <x:xf numFmtId="0" fontId="1" fillId="2" borderId="22" xfId="0" applyNumberFormat="1" applyFont="1" applyFill="1" applyBorder="1"/>
    <x:xf numFmtId="0" fontId="1" fillId="2" borderId="23" xfId="0" applyNumberFormat="1" applyFont="1" applyFill="1" applyBorder="1"/>
    <x:xf numFmtId="0" fontId="14" fillId="2" borderId="18" xfId="0" applyNumberFormat="1" applyFont="1" applyFill="1" applyBorder="1"/>
    <x:xf numFmtId="0" fontId="14" fillId="2" borderId="18" xfId="0" applyNumberFormat="1" applyFont="1" applyFill="1" applyBorder="1" applyAlignment="1">
      <x:alignment wrapText="1"/>
    </x:xf>
    <x:xf numFmtId="0" fontId="14" fillId="2" borderId="18" xfId="0" applyNumberFormat="1" applyFont="1" applyFill="1" applyBorder="1" applyAlignment="1">
      <x:alignment vertical="center" wrapText="1"/>
    </x:xf>
    <x:xf numFmtId="0" fontId="14" fillId="2" borderId="21" xfId="0" applyNumberFormat="1" applyFont="1" applyFill="1" applyBorder="1"/>
    <x:xf numFmtId="0" fontId="14" fillId="2" borderId="21" xfId="0" applyNumberFormat="1" applyFont="1" applyFill="1" applyBorder="1" applyAlignment="1">
      <x:alignment wrapText="1"/>
    </x:xf>
    <x:xf numFmtId="0" fontId="14" fillId="2" borderId="21" xfId="0" applyNumberFormat="1" applyFont="1" applyFill="1" applyBorder="1" applyAlignment="1">
      <x:alignment vertical="center" wrapText="1"/>
    </x:xf>
    <x:xf numFmtId="0" fontId="15" fillId="7" borderId="0" xfId="0" applyNumberFormat="1" applyFont="1" applyFill="1" applyBorder="1"/>
    <x:xf numFmtId="0" fontId="15" fillId="7" borderId="0" xfId="0" applyNumberFormat="1" applyFont="1" applyFill="1" applyBorder="1" applyAlignment="1">
      <x:alignment vertical="center"/>
    </x:xf>
    <x:xf numFmtId="0" fontId="15" fillId="7" borderId="1" xfId="0" applyNumberFormat="1" applyFont="1" applyFill="1" applyBorder="1"/>
    <x:xf numFmtId="0" fontId="15" fillId="7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9" xfId="0" applyNumberFormat="1" applyFont="1" applyFill="1" applyBorder="1"/>
    <x:xf numFmtId="0" fontId="1" fillId="2" borderId="10" xfId="0" applyNumberFormat="1" applyFont="1" applyFill="1" applyBorder="1"/>
    <x:xf numFmtId="0" fontId="1" fillId="2" borderId="11" xfId="0" applyNumberFormat="1" applyFont="1" applyFill="1" applyBorder="1"/>
    <x:xf numFmtId="0" fontId="1" fillId="2" borderId="12" xfId="0" applyNumberFormat="1" applyFont="1" applyFill="1" applyBorder="1"/>
    <x:xf numFmtId="0" fontId="1" fillId="2" borderId="15" xfId="0" applyNumberFormat="1" applyFont="1" applyFill="1" applyBorder="1"/>
    <x:xf numFmtId="0" fontId="1" fillId="2" borderId="16" xfId="0" applyNumberFormat="1" applyFont="1" applyFill="1" applyBorder="1"/>
    <x:xf numFmtId="0" fontId="1" fillId="2" borderId="17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13" xfId="0" applyNumberFormat="1" applyFont="1" applyFill="1" applyBorder="1"/>
    <x:xf numFmtId="0" fontId="1" fillId="2" borderId="14" xfId="0" applyNumberFormat="1" applyFont="1" applyFill="1" applyBorder="1"/>
    <x:xf numFmtId="0" fontId="16" fillId="3" borderId="0" xfId="0" applyNumberFormat="1" applyFont="1" applyFill="1" applyBorder="1"/>
    <x:xf numFmtId="0" fontId="16" fillId="3" borderId="0" xfId="0" applyNumberFormat="1" applyFont="1" applyFill="1" applyBorder="1" applyAlignment="1">
      <x:alignment wrapText="1"/>
    </x:xf>
    <x:xf numFmtId="0" fontId="16" fillId="3" borderId="0" xfId="0" applyNumberFormat="1" applyFont="1" applyFill="1" applyBorder="1" applyAlignment="1">
      <x:alignment horizontal="center" wrapText="1"/>
    </x:xf>
    <x:xf numFmtId="0" fontId="16" fillId="3" borderId="0" xfId="0" applyNumberFormat="1" applyFont="1" applyFill="1" applyBorder="1" applyAlignment="1">
      <x:alignment horizontal="center" vertical="center" wrapText="1"/>
    </x:xf>
    <x:xf numFmtId="0" fontId="16" fillId="3" borderId="1" xfId="0" applyNumberFormat="1" applyFont="1" applyFill="1" applyBorder="1"/>
    <x:xf numFmtId="0" fontId="16" fillId="3" borderId="1" xfId="0" applyNumberFormat="1" applyFont="1" applyFill="1" applyBorder="1" applyAlignment="1">
      <x:alignment wrapText="1"/>
    </x:xf>
    <x:xf numFmtId="0" fontId="16" fillId="3" borderId="1" xfId="0" applyNumberFormat="1" applyFont="1" applyFill="1" applyBorder="1" applyAlignment="1">
      <x:alignment horizontal="center" wrapText="1"/>
    </x:xf>
    <x:xf numFmtId="0" fontId="16" fillId="3" borderId="1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17" fillId="4" borderId="0" xfId="0" applyNumberFormat="1" applyFont="1" applyFill="1" applyBorder="1"/>
    <x:xf numFmtId="0" fontId="17" fillId="4" borderId="0" xfId="0" applyNumberFormat="1" applyFont="1" applyFill="1" applyBorder="1" applyAlignment="1">
      <x:alignment vertical="center"/>
    </x:xf>
    <x:xf numFmtId="0" fontId="17" fillId="4" borderId="1" xfId="0" applyNumberFormat="1" applyFont="1" applyFill="1" applyBorder="1"/>
    <x:xf numFmtId="0" fontId="17" fillId="4" borderId="1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/>
    <x:xf numFmtId="0" fontId="7" fillId="4" borderId="24" xfId="0" applyNumberFormat="1" applyFont="1" applyFill="1" applyBorder="1"/>
    <x:xf numFmtId="0" fontId="7" fillId="4" borderId="24" xfId="0" applyNumberFormat="1" applyFont="1" applyFill="1" applyBorder="1" applyAlignment="1">
      <x:alignment wrapText="1"/>
    </x:xf>
    <x:xf numFmtId="0" fontId="7" fillId="4" borderId="24" xfId="0" applyNumberFormat="1" applyFont="1" applyFill="1" applyBorder="1" applyAlignment="1">
      <x:alignment horizontal="center" wrapText="1"/>
    </x:xf>
    <x:xf numFmtId="0" fontId="7" fillId="4" borderId="24" xfId="0" applyNumberFormat="1" applyFont="1" applyFill="1" applyBorder="1" applyAlignment="1">
      <x:alignment horizontal="center" vertical="center" wrapText="1"/>
    </x:xf>
    <x:xf numFmtId="0" fontId="7" fillId="4" borderId="1" xfId="0" applyNumberFormat="1" applyFont="1" applyFill="1" applyBorder="1"/>
    <x:xf numFmtId="0" fontId="7" fillId="4" borderId="25" xfId="0" applyNumberFormat="1" applyFont="1" applyFill="1" applyBorder="1"/>
    <x:xf numFmtId="0" fontId="7" fillId="4" borderId="25" xfId="0" applyNumberFormat="1" applyFont="1" applyFill="1" applyBorder="1" applyAlignment="1">
      <x:alignment wrapText="1"/>
    </x:xf>
    <x:xf numFmtId="0" fontId="7" fillId="4" borderId="25" xfId="0" applyNumberFormat="1" applyFont="1" applyFill="1" applyBorder="1" applyAlignment="1">
      <x:alignment horizontal="center" wrapText="1"/>
    </x:xf>
    <x:xf numFmtId="0" fontId="7" fillId="4" borderId="25" xfId="0" applyNumberFormat="1" applyFont="1" applyFill="1" applyBorder="1" applyAlignment="1">
      <x:alignment horizontal="center" vertical="center" wrapText="1"/>
    </x:xf>
    <x:xf numFmtId="0" fontId="1" fillId="2" borderId="26" xfId="0" applyNumberFormat="1" applyFont="1" applyFill="1" applyBorder="1"/>
    <x:xf numFmtId="0" fontId="1" fillId="2" borderId="27" xfId="0" applyNumberFormat="1" applyFont="1" applyFill="1" applyBorder="1"/>
    <x:xf numFmtId="0" fontId="1" fillId="2" borderId="28" xfId="0" applyNumberFormat="1" applyFont="1" applyFill="1" applyBorder="1"/>
    <x:xf numFmtId="0" fontId="1" fillId="2" borderId="29" xfId="0" applyNumberFormat="1" applyFont="1" applyFill="1" applyBorder="1"/>
    <x:xf numFmtId="0" fontId="1" fillId="2" borderId="26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27" xfId="0" applyNumberFormat="1" applyFont="1" applyFill="1" applyBorder="1" applyAlignment="1">
      <x:alignment wrapText="1"/>
    </x:xf>
    <x:xf numFmtId="0" fontId="1" fillId="2" borderId="28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29" xfId="0" applyNumberFormat="1" applyFont="1" applyFill="1" applyBorder="1" applyAlignment="1">
      <x:alignment wrapText="1"/>
    </x:xf>
    <x:xf numFmtId="0" fontId="1" fillId="2" borderId="26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27" xfId="0" applyNumberFormat="1" applyFont="1" applyFill="1" applyBorder="1" applyAlignment="1">
      <x:alignment vertical="top" wrapText="1"/>
    </x:xf>
    <x:xf numFmtId="0" fontId="1" fillId="2" borderId="28" xfId="0" applyNumberFormat="1" applyFont="1" applyFill="1" applyBorder="1" applyAlignment="1">
      <x:alignment vertical="top" wrapText="1"/>
    </x:xf>
    <x:xf numFmtId="0" fontId="1" fillId="2" borderId="8" xfId="0" applyNumberFormat="1" applyFont="1" applyFill="1" applyBorder="1" applyAlignment="1">
      <x:alignment vertical="top" wrapText="1"/>
    </x:xf>
    <x:xf numFmtId="0" fontId="1" fillId="2" borderId="29" xfId="0" applyNumberFormat="1" applyFont="1" applyFill="1" applyBorder="1" applyAlignment="1">
      <x:alignment vertical="top" wrapText="1"/>
    </x:xf>
    <x:xf numFmtId="0" fontId="1" fillId="2" borderId="30" xfId="0" applyNumberFormat="1" applyFont="1" applyFill="1" applyBorder="1"/>
    <x:xf numFmtId="0" fontId="1" fillId="2" borderId="31" xfId="0" applyNumberFormat="1" applyFont="1" applyFill="1" applyBorder="1"/>
    <x:xf numFmtId="0" fontId="1" fillId="2" borderId="32" xfId="0" applyNumberFormat="1" applyFont="1" applyFill="1" applyBorder="1"/>
    <x:xf numFmtId="0" fontId="1" fillId="2" borderId="33" xfId="0" applyNumberFormat="1" applyFont="1" applyFill="1" applyBorder="1"/>
    <x:xf numFmtId="0" fontId="1" fillId="2" borderId="3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31" xfId="0" applyNumberFormat="1" applyFont="1" applyFill="1" applyBorder="1" applyAlignment="1">
      <x:alignment wrapText="1"/>
    </x:xf>
    <x:xf numFmtId="0" fontId="1" fillId="2" borderId="32" xfId="0" applyNumberFormat="1" applyFont="1" applyFill="1" applyBorder="1" applyAlignment="1">
      <x:alignment wrapText="1"/>
    </x:xf>
    <x:xf numFmtId="0" fontId="1" fillId="2" borderId="16" xfId="0" applyNumberFormat="1" applyFont="1" applyFill="1" applyBorder="1" applyAlignment="1">
      <x:alignment wrapText="1"/>
    </x:xf>
    <x:xf numFmtId="0" fontId="1" fillId="2" borderId="33" xfId="0" applyNumberFormat="1" applyFont="1" applyFill="1" applyBorder="1" applyAlignment="1">
      <x:alignment wrapText="1"/>
    </x:xf>
    <x:xf numFmtId="0" fontId="1" fillId="2" borderId="3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31" xfId="0" applyNumberFormat="1" applyFont="1" applyFill="1" applyBorder="1" applyAlignment="1">
      <x:alignment vertical="top" wrapText="1"/>
    </x:xf>
    <x:xf numFmtId="0" fontId="1" fillId="2" borderId="32" xfId="0" applyNumberFormat="1" applyFont="1" applyFill="1" applyBorder="1" applyAlignment="1">
      <x:alignment vertical="top" wrapText="1"/>
    </x:xf>
    <x:xf numFmtId="0" fontId="1" fillId="2" borderId="16" xfId="0" applyNumberFormat="1" applyFont="1" applyFill="1" applyBorder="1" applyAlignment="1">
      <x:alignment vertical="top" wrapText="1"/>
    </x:xf>
    <x:xf numFmtId="0" fontId="1" fillId="2" borderId="33" xfId="0" applyNumberFormat="1" applyFont="1" applyFill="1" applyBorder="1" applyAlignment="1">
      <x:alignment vertical="top" wrapText="1"/>
    </x:xf>
    <x:xf numFmtId="0" fontId="1" fillId="9" borderId="26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1" fillId="9" borderId="27" xfId="0" applyNumberFormat="1" applyFont="1" applyFill="1" applyBorder="1" applyAlignment="1">
      <x:alignment vertical="top" wrapText="1"/>
    </x:xf>
    <x:xf numFmtId="0" fontId="1" fillId="9" borderId="30" xfId="0" applyNumberFormat="1" applyFont="1" applyFill="1" applyBorder="1" applyAlignment="1">
      <x:alignment vertical="top" wrapText="1"/>
    </x:xf>
    <x:xf numFmtId="0" fontId="1" fillId="9" borderId="1" xfId="0" applyNumberFormat="1" applyFont="1" applyFill="1" applyBorder="1" applyAlignment="1">
      <x:alignment vertical="top" wrapText="1"/>
    </x:xf>
    <x:xf numFmtId="0" fontId="1" fillId="9" borderId="31" xfId="0" applyNumberFormat="1" applyFont="1" applyFill="1" applyBorder="1" applyAlignment="1">
      <x:alignment vertical="top" wrapText="1"/>
    </x:xf>
    <x:xf numFmtId="200" fontId="1" fillId="9" borderId="26" xfId="0" applyNumberFormat="1" applyFont="1" applyFill="1" applyBorder="1" applyAlignment="1">
      <x:alignment vertical="top" wrapText="1"/>
    </x:xf>
    <x:xf numFmtId="200" fontId="1" fillId="2" borderId="28" xfId="0" applyNumberFormat="1" applyFont="1" applyFill="1" applyBorder="1" applyAlignment="1">
      <x:alignment vertical="top" wrapText="1"/>
    </x:xf>
    <x:xf numFmtId="200" fontId="1" fillId="9" borderId="30" xfId="0" applyNumberFormat="1" applyFont="1" applyFill="1" applyBorder="1" applyAlignment="1">
      <x:alignment vertical="top" wrapText="1"/>
    </x:xf>
    <x:xf numFmtId="200" fontId="1" fillId="2" borderId="32" xfId="0" applyNumberFormat="1" applyFont="1" applyFill="1" applyBorder="1" applyAlignment="1">
      <x:alignment vertical="top" wrapText="1"/>
    </x:xf>
    <x:xf numFmtId="0" fontId="18" fillId="9" borderId="0" xfId="0" applyNumberFormat="1" applyFont="1" applyFill="1" applyBorder="1" applyAlignment="1">
      <x:alignment vertical="top" wrapText="1"/>
    </x:xf>
    <x:xf numFmtId="0" fontId="18" fillId="9" borderId="1" xfId="0" applyNumberFormat="1" applyFont="1" applyFill="1" applyBorder="1" applyAlignment="1">
      <x:alignment vertical="top" wrapText="1"/>
    </x:xf>
    <x:xf numFmtId="0" fontId="19" fillId="9" borderId="0" xfId="0" applyNumberFormat="1" applyFont="1" applyFill="1" applyBorder="1" applyAlignment="1">
      <x:alignment vertical="top" wrapText="1"/>
    </x:xf>
    <x:xf numFmtId="0" fontId="19" fillId="9" borderId="1" xfId="0" applyNumberFormat="1" applyFont="1" applyFill="1" applyBorder="1" applyAlignment="1">
      <x:alignment vertical="top" wrapText="1"/>
    </x:xf>
    <x:xf numFmtId="0" fontId="20" fillId="9" borderId="0" xfId="0" applyNumberFormat="1" applyFont="1" applyFill="1" applyBorder="1" applyAlignment="1">
      <x:alignment vertical="top" wrapText="1"/>
    </x:xf>
    <x:xf numFmtId="0" fontId="20" fillId="9" borderId="1" xfId="0" applyNumberFormat="1" applyFont="1" applyFill="1" applyBorder="1" applyAlignment="1">
      <x:alignment vertical="top" wrapText="1"/>
    </x:xf>
    <x:xf numFmtId="0" fontId="18" fillId="2" borderId="8" xfId="0" applyNumberFormat="1" applyFont="1" applyFill="1" applyBorder="1" applyAlignment="1">
      <x:alignment vertical="top" wrapText="1"/>
    </x:xf>
    <x:xf numFmtId="0" fontId="18" fillId="2" borderId="16" xfId="0" applyNumberFormat="1" applyFont="1" applyFill="1" applyBorder="1" applyAlignment="1">
      <x:alignment vertical="top" wrapText="1"/>
    </x:xf>
    <x:xf numFmtId="0" fontId="19" fillId="2" borderId="8" xfId="0" applyNumberFormat="1" applyFont="1" applyFill="1" applyBorder="1" applyAlignment="1">
      <x:alignment vertical="top" wrapText="1"/>
    </x:xf>
    <x:xf numFmtId="0" fontId="19" fillId="2" borderId="16" xfId="0" applyNumberFormat="1" applyFont="1" applyFill="1" applyBorder="1" applyAlignment="1">
      <x:alignment vertical="top" wrapText="1"/>
    </x:xf>
    <x:xf numFmtId="0" fontId="20" fillId="2" borderId="8" xfId="0" applyNumberFormat="1" applyFont="1" applyFill="1" applyBorder="1" applyAlignment="1">
      <x:alignment vertical="top" wrapText="1"/>
    </x:xf>
    <x:xf numFmtId="0" fontId="20" fillId="2" borderId="16" xfId="0" applyNumberFormat="1" applyFont="1" applyFill="1" applyBorder="1" applyAlignment="1">
      <x:alignment vertical="top" wrapText="1"/>
    </x:xf>
    <x:xf numFmtId="0" fontId="21" fillId="6" borderId="0" xfId="0" applyNumberFormat="1" applyFont="1" applyFill="1" applyBorder="1"/>
    <x:xf numFmtId="0" fontId="21" fillId="6" borderId="0" xfId="0" applyNumberFormat="1" applyFont="1" applyFill="1" applyBorder="1" applyAlignment="1">
      <x:alignment vertical="center"/>
    </x:xf>
    <x:xf numFmtId="0" fontId="21" fillId="6" borderId="1" xfId="0" applyNumberFormat="1" applyFont="1" applyFill="1" applyBorder="1"/>
    <x:xf numFmtId="0" fontId="21" fillId="6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A96800"/>
      </x:font>
      <x:fill>
        <x:patternFill patternType="solid">
          <x:bgColor rgb="FFFFF3D8"/>
        </x:patternFill>
      </x:fill>
    </x:dxf>
    <x:dxf>
      <x:font>
        <x:b/>
        <x:color rgb="FF2478B5"/>
      </x:font>
      <x:fill>
        <x:patternFill patternType="solid">
          <x:bgColor rgb="FFEAF5FB"/>
        </x:patternFill>
      </x:fill>
    </x:dxf>
    <x:dxf>
      <x:font>
        <x:b/>
        <x:color rgb="FF23845B"/>
      </x:font>
      <x:fill>
        <x:patternFill patternType="solid">
          <x:bgColor rgb="FFE9F6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47e735ad9a4059" /><Relationship Type="http://schemas.openxmlformats.org/officeDocument/2006/relationships/theme" Target="/xl/theme/theme1.xml" Id="Race7341a24c441ef" /><Relationship Type="http://schemas.openxmlformats.org/officeDocument/2006/relationships/sharedStrings" Target="/xl/sharedStrings.xml" Id="Rcefb703843c942d0" /><Relationship Type="http://schemas.openxmlformats.org/officeDocument/2006/relationships/worksheet" Target="/xl/worksheets/sheet1.xml" Id="Rbda39596a77b409a" /><Relationship Type="http://schemas.openxmlformats.org/officeDocument/2006/relationships/worksheet" Target="/xl/worksheets/sheet2.xml" Id="R8a8ca2cec55140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8" customHeight="1">
      <x:c r="A1" s="10" t="str">
        <x:v>PC
WATER</x:v>
      </x:c>
      <x:c r="B1" s="10"/>
      <x:c r="C1" s="18" t="str">
        <x:v>PC WATER INFRASTRUCTURE</x:v>
      </x:c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</x:row>
    <x:row r="2" ht="24" customHeight="1">
      <x:c r="A2" s="10"/>
      <x:c r="B2" s="10"/>
      <x:c r="C2" s="23" t="str">
        <x:v>PROJECT ENQUIRY PIPELINE</x:v>
      </x:c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</x:row>
    <x:row r="3" ht="22" customHeight="1">
      <x:c r="A3" s="10"/>
      <x:c r="B3" s="10"/>
      <x:c r="C3" s="28" t="str">
        <x:v>Engineered Water Systems  •  Enquiry snapshot from 08 Sep 2026 export  •  pcwater.com.au</x:v>
      </x:c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</x:row>
    <x:row r="4" ht="5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</x:row>
    <x:row r="6" ht="22" customHeight="1">
      <x:c r="A6" s="68" t="str">
        <x:v>TOTAL ENQUIRIES</x:v>
      </x:c>
      <x:c r="B6" s="51"/>
      <x:c r="C6" s="51"/>
      <x:c r="D6" s="52"/>
      <x:c r="E6" s="68" t="str">
        <x:v>READY TO QUOTE</x:v>
      </x:c>
      <x:c r="F6" s="51"/>
      <x:c r="G6" s="51"/>
      <x:c r="H6" s="52"/>
      <x:c r="I6" s="68" t="str">
        <x:v>EMAIL SENT</x:v>
      </x:c>
      <x:c r="J6" s="51"/>
      <x:c r="K6" s="51"/>
      <x:c r="L6" s="52"/>
      <x:c r="M6" s="68" t="str">
        <x:v>NEW STATUS</x:v>
      </x:c>
      <x:c r="N6" s="51"/>
      <x:c r="O6" s="51"/>
      <x:c r="P6" s="52"/>
    </x:row>
    <x:row r="7" ht="34" customHeight="1">
      <x:c r="A7" s="74" t="n">
        <x:f>COUNTA('Lead Register'!B7:B8)</x:f>
        <x:v>2</x:v>
      </x:c>
      <x:c r="B7" s="42"/>
      <x:c r="C7" s="42"/>
      <x:c r="D7" s="54"/>
      <x:c r="E7" s="74" t="n">
        <x:f>COUNTIF('Lead Register'!J7:J8,"Ready to Quote")</x:f>
        <x:v>1</x:v>
      </x:c>
      <x:c r="F7" s="42"/>
      <x:c r="G7" s="42"/>
      <x:c r="H7" s="54"/>
      <x:c r="I7" s="74" t="n">
        <x:f>COUNTIF('Lead Register'!O7:O8,"sent")</x:f>
        <x:v>2</x:v>
      </x:c>
      <x:c r="J7" s="42"/>
      <x:c r="K7" s="42"/>
      <x:c r="L7" s="54"/>
      <x:c r="M7" s="74" t="n">
        <x:f>COUNTIF('Lead Register'!N7:N8,"new")</x:f>
        <x:v>2</x:v>
      </x:c>
      <x:c r="N7" s="42"/>
      <x:c r="O7" s="42"/>
      <x:c r="P7" s="54"/>
    </x:row>
    <x:row r="8" ht="22" customHeight="1">
      <x:c r="A8" s="81" t="str">
        <x:v>Requested project leads</x:v>
      </x:c>
      <x:c r="B8" s="56"/>
      <x:c r="C8" s="56"/>
      <x:c r="D8" s="57"/>
      <x:c r="E8" s="81" t="str">
        <x:v>Commercially advanced enquiries</x:v>
      </x:c>
      <x:c r="F8" s="56"/>
      <x:c r="G8" s="56"/>
      <x:c r="H8" s="57"/>
      <x:c r="I8" s="81" t="str">
        <x:v>Initial response dispatched</x:v>
      </x:c>
      <x:c r="J8" s="56"/>
      <x:c r="K8" s="56"/>
      <x:c r="L8" s="57"/>
      <x:c r="M8" s="81" t="str">
        <x:v>Current CRM status</x:v>
      </x:c>
      <x:c r="N8" s="56"/>
      <x:c r="O8" s="56"/>
      <x:c r="P8" s="57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</x:row>
    <x:row r="10" ht="24" customHeight="1">
      <x:c r="A10" s="33" t="str">
        <x:v>ACTIVE PROJECT ENQUIRIES</x:v>
      </x:c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</x:row>
    <x:row r="12" ht="30" customHeight="1">
      <x:c r="A12" s="6"/>
      <x:c r="B12" s="87" t="str">
        <x:v>NICOLE HAM</x:v>
      </x:c>
      <x:c r="C12" s="87"/>
      <x:c r="D12" s="87"/>
      <x:c r="E12" s="87"/>
      <x:c r="F12" s="87"/>
      <x:c r="G12" s="87"/>
      <x:c r="H12" s="87"/>
      <x:c r="I12" s="87"/>
      <x:c r="J12" s="87"/>
      <x:c r="K12" s="87"/>
      <x:c r="L12" s="93" t="str">
        <x:v>BRISBANE • QLD</x:v>
      </x:c>
      <x:c r="M12" s="93"/>
      <x:c r="N12" s="93"/>
      <x:c r="O12" s="93"/>
      <x:c r="P12" s="93"/>
    </x:row>
    <x:row r="13" ht="20" customHeight="1">
      <x:c r="A13" s="6"/>
      <x:c r="B13" s="99" t="str">
        <x:v>CONTACT</x:v>
      </x:c>
      <x:c r="C13" s="51"/>
      <x:c r="D13" s="51"/>
      <x:c r="E13" s="52"/>
      <x:c r="F13" s="99" t="str">
        <x:v>PROJECT / ORGANISATION</x:v>
      </x:c>
      <x:c r="G13" s="51"/>
      <x:c r="H13" s="51"/>
      <x:c r="I13" s="52"/>
      <x:c r="J13" s="99" t="str">
        <x:v>SCOPE</x:v>
      </x:c>
      <x:c r="K13" s="51"/>
      <x:c r="L13" s="51"/>
      <x:c r="M13" s="52"/>
      <x:c r="N13" s="99" t="str">
        <x:v>PIPELINE</x:v>
      </x:c>
      <x:c r="O13" s="51"/>
      <x:c r="P13" s="52"/>
    </x:row>
    <x:row r="14" ht="28" customHeight="1">
      <x:c r="A14" s="6"/>
      <x:c r="B14" s="103" t="str">
        <x:v>nicole.ham@lutheranservices.org.au
0480348321</x:v>
      </x:c>
      <x:c r="C14" s="42"/>
      <x:c r="D14" s="42"/>
      <x:c r="E14" s="54"/>
      <x:c r="F14" s="103" t="str">
        <x:v>Organisation not supplied
Submitted: 02 Sep 2026</x:v>
      </x:c>
      <x:c r="G14" s="42"/>
      <x:c r="H14" s="42"/>
      <x:c r="I14" s="54"/>
      <x:c r="J14" s="103" t="str">
        <x:v>Service not specified
Inground concrete water tanks</x:v>
      </x:c>
      <x:c r="K14" s="42"/>
      <x:c r="L14" s="42"/>
      <x:c r="M14" s="54"/>
      <x:c r="N14" s="103" t="str">
        <x:v>Stage not specified
Status: new</x:v>
      </x:c>
      <x:c r="O14" s="42"/>
      <x:c r="P14" s="54"/>
    </x:row>
    <x:row r="15" ht="28" customHeight="1">
      <x:c r="A15" s="6"/>
      <x:c r="B15" s="55"/>
      <x:c r="C15" s="56"/>
      <x:c r="D15" s="56"/>
      <x:c r="E15" s="57"/>
      <x:c r="F15" s="55"/>
      <x:c r="G15" s="56"/>
      <x:c r="H15" s="56"/>
      <x:c r="I15" s="57"/>
      <x:c r="J15" s="55"/>
      <x:c r="K15" s="56"/>
      <x:c r="L15" s="56"/>
      <x:c r="M15" s="57"/>
      <x:c r="N15" s="55"/>
      <x:c r="O15" s="56"/>
      <x:c r="P15" s="57"/>
    </x:row>
    <x:row r="16" ht="28" customHeight="1">
      <x:c r="A16" s="6"/>
      <x:c r="B16" s="114" t="str">
        <x:v>INDUSTRY  |  Other</x:v>
      </x:c>
      <x:c r="C16" s="107"/>
      <x:c r="D16" s="107"/>
      <x:c r="E16" s="108"/>
      <x:c r="F16" s="114" t="str">
        <x:v>TIMELINE  |  Not specified</x:v>
      </x:c>
      <x:c r="G16" s="107"/>
      <x:c r="H16" s="107"/>
      <x:c r="I16" s="108"/>
      <x:c r="J16" s="114" t="str">
        <x:v>BUDGET  |  Not specified</x:v>
      </x:c>
      <x:c r="K16" s="107"/>
      <x:c r="L16" s="107"/>
      <x:c r="M16" s="108"/>
      <x:c r="N16" s="114" t="str">
        <x:v>EMAIL  |  sent</x:v>
      </x:c>
      <x:c r="O16" s="107"/>
      <x:c r="P16" s="108"/>
    </x:row>
    <x:row r="17" ht="20" customHeight="1">
      <x:c r="A17" s="6"/>
      <x:c r="B17" s="119" t="str">
        <x:v>PROJECT DESCRIPTION / MESSAGE</x:v>
      </x:c>
      <x:c r="C17" s="119"/>
      <x:c r="D17" s="119"/>
      <x:c r="E17" s="119"/>
      <x:c r="F17" s="119"/>
      <x:c r="G17" s="119"/>
      <x:c r="H17" s="119"/>
      <x:c r="I17" s="119"/>
      <x:c r="J17" s="119"/>
      <x:c r="K17" s="119"/>
      <x:c r="L17" s="119"/>
      <x:c r="M17" s="119"/>
      <x:c r="N17" s="119"/>
      <x:c r="O17" s="119"/>
      <x:c r="P17" s="119"/>
    </x:row>
    <x:row r="18" ht="20" customHeight="1">
      <x:c r="A18" s="6"/>
      <x:c r="B18" s="135" t="str">
        <x:v>Fee proposal to provide an internal and external condition assessment report of 11 inground water tanks on the one site in Toowoomba.</x:v>
      </x:c>
      <x:c r="C18" s="123"/>
      <x:c r="D18" s="123"/>
      <x:c r="E18" s="123"/>
      <x:c r="F18" s="123"/>
      <x:c r="G18" s="123"/>
      <x:c r="H18" s="123"/>
      <x:c r="I18" s="123"/>
      <x:c r="J18" s="123"/>
      <x:c r="K18" s="123"/>
      <x:c r="L18" s="123"/>
      <x:c r="M18" s="123"/>
      <x:c r="N18" s="123"/>
      <x:c r="O18" s="123"/>
      <x:c r="P18" s="124"/>
    </x:row>
    <x:row r="19" ht="52" customHeight="1">
      <x:c r="A19" s="6"/>
      <x:c r="B19" s="125"/>
      <x:c r="C19" s="126"/>
      <x:c r="D19" s="126"/>
      <x:c r="E19" s="126"/>
      <x:c r="F19" s="126"/>
      <x:c r="G19" s="126"/>
      <x:c r="H19" s="126"/>
      <x:c r="I19" s="126"/>
      <x:c r="J19" s="126"/>
      <x:c r="K19" s="126"/>
      <x:c r="L19" s="126"/>
      <x:c r="M19" s="126"/>
      <x:c r="N19" s="126"/>
      <x:c r="O19" s="126"/>
      <x:c r="P19" s="127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</x:row>
    <x:row r="22" ht="30" customHeight="1">
      <x:c r="A22" s="138"/>
      <x:c r="B22" s="87" t="str">
        <x:v>JOE GARCIA</x:v>
      </x:c>
      <x:c r="C22" s="87"/>
      <x:c r="D22" s="87"/>
      <x:c r="E22" s="87"/>
      <x:c r="F22" s="87"/>
      <x:c r="G22" s="87"/>
      <x:c r="H22" s="87"/>
      <x:c r="I22" s="87"/>
      <x:c r="J22" s="87"/>
      <x:c r="K22" s="87"/>
      <x:c r="L22" s="93" t="str">
        <x:v>MELBOURNE • VIC</x:v>
      </x:c>
      <x:c r="M22" s="93"/>
      <x:c r="N22" s="93"/>
      <x:c r="O22" s="93"/>
      <x:c r="P22" s="93"/>
    </x:row>
    <x:row r="23" ht="20" customHeight="1">
      <x:c r="A23" s="138"/>
      <x:c r="B23" s="99" t="str">
        <x:v>CONTACT</x:v>
      </x:c>
      <x:c r="C23" s="51"/>
      <x:c r="D23" s="51"/>
      <x:c r="E23" s="52"/>
      <x:c r="F23" s="99" t="str">
        <x:v>PROJECT / ORGANISATION</x:v>
      </x:c>
      <x:c r="G23" s="51"/>
      <x:c r="H23" s="51"/>
      <x:c r="I23" s="52"/>
      <x:c r="J23" s="99" t="str">
        <x:v>SCOPE</x:v>
      </x:c>
      <x:c r="K23" s="51"/>
      <x:c r="L23" s="51"/>
      <x:c r="M23" s="52"/>
      <x:c r="N23" s="99" t="str">
        <x:v>PIPELINE</x:v>
      </x:c>
      <x:c r="O23" s="51"/>
      <x:c r="P23" s="52"/>
    </x:row>
    <x:row r="24" ht="28" customHeight="1">
      <x:c r="A24" s="138"/>
      <x:c r="B24" s="103" t="str">
        <x:v>joe.garcia@lansonplace.com
+61 452 382 386</x:v>
      </x:c>
      <x:c r="C24" s="42"/>
      <x:c r="D24" s="42"/>
      <x:c r="E24" s="54"/>
      <x:c r="F24" s="103" t="str">
        <x:v>Lanson Place / Parliament Gardens Hotel Pty Ltd / Maintenance
Submitted: 05 Aug 2026</x:v>
      </x:c>
      <x:c r="G24" s="42"/>
      <x:c r="H24" s="42"/>
      <x:c r="I24" s="54"/>
      <x:c r="J24" s="103" t="str">
        <x:v>Tank Maintenance &amp; Upgrades
10kL COLDWATER STORAGE TANK DIMENSIONS: 3.0m (L) x 2.2m (D) x 2.5m (H)</x:v>
      </x:c>
      <x:c r="K24" s="42"/>
      <x:c r="L24" s="42"/>
      <x:c r="M24" s="54"/>
      <x:c r="N24" s="103" t="str">
        <x:v>Ready to Quote
Status: new</x:v>
      </x:c>
      <x:c r="O24" s="42"/>
      <x:c r="P24" s="54"/>
    </x:row>
    <x:row r="25" ht="28" customHeight="1">
      <x:c r="A25" s="138"/>
      <x:c r="B25" s="55"/>
      <x:c r="C25" s="56"/>
      <x:c r="D25" s="56"/>
      <x:c r="E25" s="57"/>
      <x:c r="F25" s="55"/>
      <x:c r="G25" s="56"/>
      <x:c r="H25" s="56"/>
      <x:c r="I25" s="57"/>
      <x:c r="J25" s="55"/>
      <x:c r="K25" s="56"/>
      <x:c r="L25" s="56"/>
      <x:c r="M25" s="57"/>
      <x:c r="N25" s="55"/>
      <x:c r="O25" s="56"/>
      <x:c r="P25" s="57"/>
    </x:row>
    <x:row r="26" ht="28" customHeight="1">
      <x:c r="A26" s="138"/>
      <x:c r="B26" s="114" t="str">
        <x:v>INDUSTRY  |  Commercial/Fire</x:v>
      </x:c>
      <x:c r="C26" s="107"/>
      <x:c r="D26" s="107"/>
      <x:c r="E26" s="108"/>
      <x:c r="F26" s="114" t="str">
        <x:v>TIMELINE  |  3 months</x:v>
      </x:c>
      <x:c r="G26" s="107"/>
      <x:c r="H26" s="107"/>
      <x:c r="I26" s="108"/>
      <x:c r="J26" s="114" t="str">
        <x:v>BUDGET  |  Not specified</x:v>
      </x:c>
      <x:c r="K26" s="107"/>
      <x:c r="L26" s="107"/>
      <x:c r="M26" s="108"/>
      <x:c r="N26" s="114" t="str">
        <x:v>EMAIL  |  sent</x:v>
      </x:c>
      <x:c r="O26" s="107"/>
      <x:c r="P26" s="108"/>
    </x:row>
    <x:row r="27" ht="20" customHeight="1">
      <x:c r="A27" s="138"/>
      <x:c r="B27" s="119" t="str">
        <x:v>PROJECT DESCRIPTION / MESSAGE</x:v>
      </x:c>
      <x:c r="C27" s="119"/>
      <x:c r="D27" s="119"/>
      <x:c r="E27" s="119"/>
      <x:c r="F27" s="119"/>
      <x:c r="G27" s="119"/>
      <x:c r="H27" s="119"/>
      <x:c r="I27" s="119"/>
      <x:c r="J27" s="119"/>
      <x:c r="K27" s="119"/>
      <x:c r="L27" s="119"/>
      <x:c r="M27" s="119"/>
      <x:c r="N27" s="119"/>
      <x:c r="O27" s="119"/>
      <x:c r="P27" s="119"/>
    </x:row>
    <x:row r="28" ht="20" customHeight="1">
      <x:c r="A28" s="138"/>
      <x:c r="B28" s="135" t="str">
        <x:v>Hello,
I am seeking a suitably qualified contractor to undertake the inspection, testing of our potable water storage tank at our commercial facility which is a hotel.
The scope would include:
Internal and external tank inspection
Assessment of tank condition and integrity
Sediment and contamination inspection
Water quality testing 
Provision of a service report and any recommendations for corrective actions
Could you please provide:
Your availability
Details of your inspection and cleaning process
Any certification or accreditation held by your company
A quotation for the works
Please let me know if you require any additional information regarding the tank size, location, or access arrangements.
I look forward to your response.</x:v>
      </x:c>
      <x:c r="C28" s="123"/>
      <x:c r="D28" s="123"/>
      <x:c r="E28" s="123"/>
      <x:c r="F28" s="123"/>
      <x:c r="G28" s="123"/>
      <x:c r="H28" s="123"/>
      <x:c r="I28" s="123"/>
      <x:c r="J28" s="123"/>
      <x:c r="K28" s="123"/>
      <x:c r="L28" s="123"/>
      <x:c r="M28" s="123"/>
      <x:c r="N28" s="123"/>
      <x:c r="O28" s="123"/>
      <x:c r="P28" s="124"/>
    </x:row>
    <x:row r="29" ht="60" customHeight="1">
      <x:c r="A29" s="138"/>
      <x:c r="B29" s="140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141"/>
    </x:row>
    <x:row r="30" ht="60" customHeight="1">
      <x:c r="A30" s="138"/>
      <x:c r="B30" s="140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141"/>
    </x:row>
    <x:row r="31" ht="60" customHeight="1">
      <x:c r="A31" s="138"/>
      <x:c r="B31" s="140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141"/>
    </x:row>
    <x:row r="32" ht="60" customHeight="1">
      <x:c r="A32" s="138"/>
      <x:c r="B32" s="125"/>
      <x:c r="C32" s="126"/>
      <x:c r="D32" s="126"/>
      <x:c r="E32" s="126"/>
      <x:c r="F32" s="126"/>
      <x:c r="G32" s="126"/>
      <x:c r="H32" s="126"/>
      <x:c r="I32" s="126"/>
      <x:c r="J32" s="126"/>
      <x:c r="K32" s="126"/>
      <x:c r="L32" s="126"/>
      <x:c r="M32" s="126"/>
      <x:c r="N32" s="126"/>
      <x:c r="O32" s="126"/>
      <x:c r="P32" s="127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</x:row>
    <x:row r="34" ht="24" customHeight="1">
      <x:c r="A34" s="38" t="str">
        <x:v>PC WATER INFRASTRUCTURE  •  Engineered Water Systems  •  pcwater.com.au</x:v>
      </x:c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</x:row>
    <x:row r="35" ht="22" customHeight="1">
      <x:c r="A35" s="45" t="str">
        <x:v>Prepared from the project enquiry export dated 08 Sep 2026. Only Nicole Ham and Joe Garcia are included.</x:v>
      </x:c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</x:row>
  </x:sheetData>
  <x:mergeCells>
    <x:mergeCell ref="A1:B3"/>
    <x:mergeCell ref="C1:P1"/>
    <x:mergeCell ref="C2:P2"/>
    <x:mergeCell ref="C3:P3"/>
    <x:mergeCell ref="A10:P10"/>
    <x:mergeCell ref="A34:P34"/>
    <x:mergeCell ref="A35:P35"/>
    <x:mergeCell ref="A6:D6"/>
    <x:mergeCell ref="A7:D7"/>
    <x:mergeCell ref="A8:D8"/>
    <x:mergeCell ref="E6:H6"/>
    <x:mergeCell ref="E7:H7"/>
    <x:mergeCell ref="E8:H8"/>
    <x:mergeCell ref="I6:L6"/>
    <x:mergeCell ref="I7:L7"/>
    <x:mergeCell ref="I8:L8"/>
    <x:mergeCell ref="M6:P6"/>
    <x:mergeCell ref="M7:P7"/>
    <x:mergeCell ref="M8:P8"/>
    <x:mergeCell ref="B12:K12"/>
    <x:mergeCell ref="L12:P12"/>
    <x:mergeCell ref="B13:E13"/>
    <x:mergeCell ref="B14:E15"/>
    <x:mergeCell ref="F13:I13"/>
    <x:mergeCell ref="F14:I15"/>
    <x:mergeCell ref="J13:M13"/>
    <x:mergeCell ref="J14:M15"/>
    <x:mergeCell ref="N13:P13"/>
    <x:mergeCell ref="N14:P15"/>
    <x:mergeCell ref="B16:E16"/>
    <x:mergeCell ref="F16:I16"/>
    <x:mergeCell ref="J16:M16"/>
    <x:mergeCell ref="N16:P16"/>
    <x:mergeCell ref="B17:P17"/>
    <x:mergeCell ref="B18:P19"/>
    <x:mergeCell ref="B22:K22"/>
    <x:mergeCell ref="L22:P22"/>
    <x:mergeCell ref="B23:E23"/>
    <x:mergeCell ref="B24:E25"/>
    <x:mergeCell ref="F23:I23"/>
    <x:mergeCell ref="F24:I25"/>
    <x:mergeCell ref="J23:M23"/>
    <x:mergeCell ref="J24:M25"/>
    <x:mergeCell ref="N23:P23"/>
    <x:mergeCell ref="N24:P25"/>
    <x:mergeCell ref="B26:E26"/>
    <x:mergeCell ref="F26:I26"/>
    <x:mergeCell ref="J26:M26"/>
    <x:mergeCell ref="N26:P26"/>
    <x:mergeCell ref="B27:P27"/>
    <x:mergeCell ref="B28:P3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32" hidden="0" customWidth="1"/>
    <x:col min="4" max="4" width="30" hidden="0" customWidth="1"/>
    <x:col min="5" max="5" width="18" hidden="0" customWidth="1"/>
    <x:col min="6" max="6" width="9" hidden="0" customWidth="1"/>
    <x:col min="7" max="7" width="16" hidden="0" customWidth="1"/>
    <x:col min="8" max="8" width="18" hidden="0" customWidth="1"/>
    <x:col min="9" max="9" width="26" hidden="0" customWidth="1"/>
    <x:col min="10" max="10" width="18" hidden="0" customWidth="1"/>
    <x:col min="11" max="11" width="14" hidden="0" customWidth="1"/>
    <x:col min="12" max="12" width="15" hidden="0" customWidth="1"/>
    <x:col min="13" max="13" width="38" hidden="0" customWidth="1"/>
    <x:col min="14" max="14" width="11" hidden="0" customWidth="1"/>
    <x:col min="15" max="15" width="12" hidden="0" customWidth="1"/>
    <x:col min="16" max="16" width="60" hidden="0" customWidth="1"/>
  </x:cols>
  <x:sheetData>
    <x:row r="1">
      <x:c r="A1" s="147" t="str">
        <x:v>PC
WATER</x:v>
      </x:c>
      <x:c r="B1" s="147"/>
      <x:c r="C1" s="153" t="str">
        <x:v>PC WATER INFRASTRUCTURE</x:v>
      </x:c>
      <x:c r="D1" s="153"/>
      <x:c r="E1" s="153"/>
      <x:c r="F1" s="153"/>
      <x:c r="G1" s="153"/>
      <x:c r="H1" s="153"/>
      <x:c r="I1" s="153"/>
      <x:c r="J1" s="153"/>
      <x:c r="K1" s="153"/>
      <x:c r="L1" s="153"/>
      <x:c r="M1" s="153"/>
      <x:c r="N1" s="153"/>
      <x:c r="O1" s="153"/>
      <x:c r="P1" s="153"/>
    </x:row>
    <x:row r="2">
      <x:c r="A2" s="147"/>
      <x:c r="B2" s="147"/>
      <x:c r="C2" s="157" t="str">
        <x:v>PROJECT ENQUIRY REGISTER</x:v>
      </x:c>
      <x:c r="D2" s="157"/>
      <x:c r="E2" s="157"/>
      <x:c r="F2" s="157"/>
      <x:c r="G2" s="157"/>
      <x:c r="H2" s="157"/>
      <x:c r="I2" s="157"/>
      <x:c r="J2" s="157"/>
      <x:c r="K2" s="157"/>
      <x:c r="L2" s="157"/>
      <x:c r="M2" s="157"/>
      <x:c r="N2" s="157"/>
      <x:c r="O2" s="157"/>
      <x:c r="P2" s="157"/>
    </x:row>
    <x:row r="3">
      <x:c r="A3" s="147"/>
      <x:c r="B3" s="147"/>
      <x:c r="C3" s="28" t="str">
        <x:v>Source: pcwater.com.au project enquiry export  •  08 Sep 2026</x:v>
      </x:c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</x:row>
    <x:row r="4" ht="5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</x:row>
    <x:row r="6" ht="34" customHeight="1">
      <x:c r="A6" s="164" t="str">
        <x:v>Submitted</x:v>
      </x:c>
      <x:c r="B6" s="164" t="str">
        <x:v>Lead</x:v>
      </x:c>
      <x:c r="C6" s="164" t="str">
        <x:v>Company / Organisation</x:v>
      </x:c>
      <x:c r="D6" s="164" t="str">
        <x:v>Email</x:v>
      </x:c>
      <x:c r="E6" s="164" t="str">
        <x:v>Phone</x:v>
      </x:c>
      <x:c r="F6" s="164" t="str">
        <x:v>State</x:v>
      </x:c>
      <x:c r="G6" s="164" t="str">
        <x:v>Suburb / Town</x:v>
      </x:c>
      <x:c r="H6" s="164" t="str">
        <x:v>Industry</x:v>
      </x:c>
      <x:c r="I6" s="164" t="str">
        <x:v>Service</x:v>
      </x:c>
      <x:c r="J6" s="164" t="str">
        <x:v>Project Stage</x:v>
      </x:c>
      <x:c r="K6" s="164" t="str">
        <x:v>Timeline</x:v>
      </x:c>
      <x:c r="L6" s="164" t="str">
        <x:v>Budget</x:v>
      </x:c>
      <x:c r="M6" s="164" t="str">
        <x:v>Tank Type / Application</x:v>
      </x:c>
      <x:c r="N6" s="164" t="str">
        <x:v>Status</x:v>
      </x:c>
      <x:c r="O6" s="164" t="str">
        <x:v>Email Status</x:v>
      </x:c>
      <x:c r="P6" s="164" t="str">
        <x:v>Project Message</x:v>
      </x:c>
    </x:row>
    <x:row r="7" ht="98" customHeight="1">
      <x:c r="A7" s="208" t="n">
        <x:v>46267</x:v>
      </x:c>
      <x:c r="B7" s="212" t="str">
        <x:v>Nicole Ham</x:v>
      </x:c>
      <x:c r="C7" s="203" t="str"/>
      <x:c r="D7" s="214" t="str">
        <x:v>nicole.ham@lutheranservices.org.au</x:v>
      </x:c>
      <x:c r="E7" s="203" t="str">
        <x:v>0480348321</x:v>
      </x:c>
      <x:c r="F7" s="216" t="str">
        <x:v>QLD</x:v>
      </x:c>
      <x:c r="G7" s="216" t="str">
        <x:v>Brisbane</x:v>
      </x:c>
      <x:c r="H7" s="203" t="str">
        <x:v>Other</x:v>
      </x:c>
      <x:c r="I7" s="203" t="str"/>
      <x:c r="J7" s="203" t="str"/>
      <x:c r="K7" s="203" t="str"/>
      <x:c r="L7" s="203" t="str"/>
      <x:c r="M7" s="203" t="str">
        <x:v>Inground concrete water tanks</x:v>
      </x:c>
      <x:c r="N7" s="203" t="str">
        <x:v>new</x:v>
      </x:c>
      <x:c r="O7" s="203" t="str">
        <x:v>sent</x:v>
      </x:c>
      <x:c r="P7" s="204" t="str">
        <x:v>Fee proposal to provide an internal and external condition assessment report of 11 inground water tanks on the one site in Toowoomba.</x:v>
      </x:c>
    </x:row>
    <x:row r="8" ht="185" customHeight="1">
      <x:c r="A8" s="209" t="n">
        <x:v>46239</x:v>
      </x:c>
      <x:c r="B8" s="218" t="str">
        <x:v>Joe Garcia</x:v>
      </x:c>
      <x:c r="C8" s="184" t="str">
        <x:v>Lanson Place / Parliament Gardens Hotel Pty Ltd / Maintenance</x:v>
      </x:c>
      <x:c r="D8" s="220" t="str">
        <x:v>joe.garcia@lansonplace.com</x:v>
      </x:c>
      <x:c r="E8" s="184" t="str">
        <x:v>+61 452 382 386</x:v>
      </x:c>
      <x:c r="F8" s="222" t="str">
        <x:v>VIC</x:v>
      </x:c>
      <x:c r="G8" s="222" t="str">
        <x:v>Melbourne</x:v>
      </x:c>
      <x:c r="H8" s="184" t="str">
        <x:v>Commercial/Fire</x:v>
      </x:c>
      <x:c r="I8" s="184" t="str">
        <x:v>Tank Maintenance &amp; Upgrades</x:v>
      </x:c>
      <x:c r="J8" s="184" t="str">
        <x:v>Ready to Quote</x:v>
      </x:c>
      <x:c r="K8" s="184" t="str">
        <x:v>3 months</x:v>
      </x:c>
      <x:c r="L8" s="184" t="str"/>
      <x:c r="M8" s="184" t="str">
        <x:v>10kL COLDWATER STORAGE TANK DIMENSIONS: 3.0m (L) x 2.2m (D) x 2.5m (H)</x:v>
      </x:c>
      <x:c r="N8" s="184" t="str">
        <x:v>new</x:v>
      </x:c>
      <x:c r="O8" s="184" t="str">
        <x:v>sent</x:v>
      </x:c>
      <x:c r="P8" s="185" t="str">
        <x:v>Hello,
I am seeking a suitably qualified contractor to undertake the inspection, testing of our potable water storage tank at our commercial facility which is a hotel.
The scope would include:
Internal and external tank inspection
Assessment of tank condition and integrity
Sediment and contamination inspection
Water quality testing 
Provision of a service report and any recommendations for corrective actions
Could you please provide:
Your availability
Details of your inspection and cleaning process
Any certification or accreditation held by your company
A quotation for the works
Please let me know if you require any additional information regarding the tank size, location, or access arrangements.
I look forward to your response.</x:v>
      </x:c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</x:row>
    <x:row r="10" ht="24" customHeight="1">
      <x:c r="A10" s="225" t="str">
        <x:v>Only Nicole Ham and Joe Garcia are included in this cleaned register. Test and smoke-test submissions were excluded.</x:v>
      </x:c>
      <x:c r="B10" s="225"/>
      <x:c r="C10" s="225"/>
      <x:c r="D10" s="225"/>
      <x:c r="E10" s="225"/>
      <x:c r="F10" s="225"/>
      <x:c r="G10" s="225"/>
      <x:c r="H10" s="225"/>
      <x:c r="I10" s="225"/>
      <x:c r="J10" s="225"/>
      <x:c r="K10" s="225"/>
      <x:c r="L10" s="225"/>
      <x:c r="M10" s="225"/>
      <x:c r="N10" s="225"/>
      <x:c r="O10" s="225"/>
      <x:c r="P10" s="225"/>
    </x:row>
    <x:row r="11" ht="24" customHeight="1">
      <x:c r="A11" s="38" t="str">
        <x:v>PC WATER INFRASTRUCTURE  •  Engineered Water Systems  •  pcwater.com.au</x:v>
      </x:c>
      <x:c r="B11" s="38"/>
      <x:c r="C11" s="38"/>
      <x:c r="D11" s="38"/>
      <x:c r="E11" s="38"/>
      <x:c r="F11" s="38"/>
      <x:c r="G11" s="38"/>
      <x:c r="H11" s="38"/>
      <x:c r="I11" s="38"/>
      <x:c r="J11" s="38"/>
      <x:c r="K11" s="38"/>
      <x:c r="L11" s="38"/>
      <x:c r="M11" s="38"/>
      <x:c r="N11" s="38"/>
      <x:c r="O11" s="38"/>
      <x:c r="P11" s="38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</x:row>
  </x:sheetData>
  <x:mergeCells>
    <x:mergeCell ref="A1:B3"/>
    <x:mergeCell ref="C1:P1"/>
    <x:mergeCell ref="C2:P2"/>
    <x:mergeCell ref="C3:P3"/>
    <x:mergeCell ref="A10:P10"/>
    <x:mergeCell ref="A11:P11"/>
  </x:mergeCells>
  <x:conditionalFormatting sqref="J7:J8">
    <x:cfRule type="expression" dxfId="0" priority="1">
      <x:formula>J7="Ready to Quote"</x:formula>
    </x:cfRule>
  </x:conditionalFormatting>
  <x:conditionalFormatting sqref="N7:N8">
    <x:cfRule type="expression" dxfId="1" priority="2">
      <x:formula>N7="new"</x:formula>
    </x:cfRule>
  </x:conditionalFormatting>
  <x:conditionalFormatting sqref="O7:O8">
    <x:cfRule type="expression" dxfId="2" priority="3">
      <x:formula>O7="sent"</x:formula>
    </x:cfRule>
  </x:conditionalFormatting>
  <x:pageMargins left="0.7" right="0.7" top="0.75" bottom="0.75" header="0.3" footer="0.3"/>
</x:worksheet>
</file>